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PKLU DHIMAS KULIAH\"/>
    </mc:Choice>
  </mc:AlternateContent>
  <xr:revisionPtr revIDLastSave="0" documentId="13_ncr:1_{1BCABCA1-15D4-4253-9BC9-0CCC95FEBB69}" xr6:coauthVersionLast="47" xr6:coauthVersionMax="47" xr10:uidLastSave="{00000000-0000-0000-0000-000000000000}"/>
  <bookViews>
    <workbookView xWindow="4090" yWindow="4030" windowWidth="14400" windowHeight="7270" xr2:uid="{1CAD7C02-DC8E-4AFC-845B-AD2D721111BC}"/>
  </bookViews>
  <sheets>
    <sheet name="spkl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1" l="1" a="1"/>
  <c r="G11" i="1" s="1"/>
  <c r="G10" i="1" a="1"/>
  <c r="G10" i="1" s="1"/>
  <c r="G9" i="1" a="1"/>
  <c r="G9" i="1" s="1"/>
  <c r="G8" i="1" a="1"/>
  <c r="G8" i="1" s="1"/>
  <c r="G7" i="1" a="1"/>
  <c r="G7" i="1" s="1"/>
  <c r="G6" i="1" a="1"/>
  <c r="G6" i="1" s="1"/>
  <c r="G5" i="1" a="1"/>
  <c r="G5" i="1" s="1"/>
  <c r="G4" i="1" a="1"/>
  <c r="G4" i="1" s="1"/>
  <c r="G3" i="1" a="1"/>
  <c r="G3" i="1" s="1"/>
  <c r="G2" i="1" a="1"/>
  <c r="G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<sst xmlns="http://schemas.openxmlformats.org/spreadsheetml/2006/main" count="27" uniqueCount="22">
  <si>
    <t>KAPASITAS</t>
  </si>
  <si>
    <t>BIAYA</t>
  </si>
  <si>
    <t>KOTA/KAB</t>
  </si>
  <si>
    <t>SPKLU B</t>
  </si>
  <si>
    <t>PONTIANAK</t>
  </si>
  <si>
    <t>SPKLU C</t>
  </si>
  <si>
    <t>SINGKAWANG</t>
  </si>
  <si>
    <t>SPKLU A</t>
  </si>
  <si>
    <t>SPKLU F</t>
  </si>
  <si>
    <t>SANGGAU</t>
  </si>
  <si>
    <t>SPKLU I</t>
  </si>
  <si>
    <t>KETAPANG</t>
  </si>
  <si>
    <t>SPKLU J</t>
  </si>
  <si>
    <t>SPKLU D</t>
  </si>
  <si>
    <t>MEMPAWAH</t>
  </si>
  <si>
    <t>SPKLU E</t>
  </si>
  <si>
    <t>SPKLU G</t>
  </si>
  <si>
    <t>SPKLU H</t>
  </si>
  <si>
    <t>KBL</t>
  </si>
  <si>
    <t>TRANSAKSI</t>
  </si>
  <si>
    <t>NAMA</t>
  </si>
  <si>
    <t>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</si>
</sst>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4F58D-637D-4676-8FA1-52219001B78B}">
  <dimension ref="A1:G11"/>
  <sheetViews>
    <sheetView tabSelected="1" workbookViewId="0">
      <selection activeCell="G2" sqref="G2"/>
    </sheetView>
  </sheetViews>
  <sheetFormatPr defaultRowHeight="14.5" x14ac:dyDescent="0.35"/>
  <cols>
    <col min="1" max="1" width="11.36328125" bestFit="1" customWidth="1"/>
    <col min="2" max="2" width="18.81640625" bestFit="1" customWidth="1"/>
    <col min="3" max="3" width="13.08984375" bestFit="1" customWidth="1"/>
    <col min="4" max="4" width="9.54296875" bestFit="1" customWidth="1"/>
    <col min="5" max="5" width="14.6328125" bestFit="1" customWidth="1"/>
    <col min="6" max="6" width="12.1796875" bestFit="1" customWidth="1"/>
    <col min="7" max="7" width="7.453125" bestFit="1" customWidth="1"/>
  </cols>
  <sheetData>
    <row r="1" spans="1:7" x14ac:dyDescent="0.35">
      <c r="A1" t="s">
        <v>20</v>
      </c>
      <c r="B1" t="s">
        <v>19</v>
      </c>
      <c r="C1" t="s">
        <v>18</v>
      </c>
      <c r="D1" t="s">
        <v>0</v>
      </c>
      <c r="E1" t="s">
        <v>1</v>
      </c>
      <c r="F1" t="s">
        <v>2</v>
      </c>
      <c r="G1" t="s">
        <v>21</v>
      </c>
    </row>
    <row r="2" spans="1:7" x14ac:dyDescent="0.35">
      <c r="A2" t="s">
        <v>3</v>
      </c>
      <c r="B2">
        <v>10</v>
      </c>
      <c r="C2">
        <v>100</v>
      </c>
      <c r="D2">
        <v>7.7</v>
      </c>
      <c r="E2" s="1">
        <v>25000000</v>
      </c>
      <c r="F2" t="s">
        <v>4</v>
      </c>
      <c r="G2" t="str" cm="1">
        <f t="array" ref="G2">_xlfn.IFS(B2&lt;=10,"critical",B2&lt;=50,"evaluasi",B2&gt;50,"oveload")</f>
        <v>critical</v>
      </c>
    </row>
    <row r="3" spans="1:7" x14ac:dyDescent="0.35">
      <c r="A3" t="s">
        <v>5</v>
      </c>
      <c r="B3">
        <v>9</v>
      </c>
      <c r="C3">
        <v>20</v>
      </c>
      <c r="D3">
        <v>70</v>
      </c>
      <c r="E3" s="1">
        <v>40000000</v>
      </c>
      <c r="F3" t="s">
        <v>6</v>
      </c>
      <c r="G3" t="str" cm="1">
        <f t="array" ref="G3">_xlfn.IFS(B3&lt;=10,"critical",B3&lt;=50,"evaluasi",B3&gt;50,"oveload")</f>
        <v>critical</v>
      </c>
    </row>
    <row r="4" spans="1:7" x14ac:dyDescent="0.35">
      <c r="A4" t="s">
        <v>7</v>
      </c>
      <c r="B4">
        <v>50</v>
      </c>
      <c r="C4">
        <v>100</v>
      </c>
      <c r="D4">
        <v>100</v>
      </c>
      <c r="E4" s="1">
        <v>50000000</v>
      </c>
      <c r="F4" t="s">
        <v>4</v>
      </c>
      <c r="G4" t="str" cm="1">
        <f t="array" ref="G4">_xlfn.IFS(B4&lt;=10,"critical",B4&lt;=50,"evaluasi",B4&gt;50,"oveload")</f>
        <v>evaluasi</v>
      </c>
    </row>
    <row r="5" spans="1:7" x14ac:dyDescent="0.35">
      <c r="A5" t="s">
        <v>8</v>
      </c>
      <c r="B5">
        <v>20</v>
      </c>
      <c r="C5">
        <v>25</v>
      </c>
      <c r="D5">
        <v>70</v>
      </c>
      <c r="E5" s="1">
        <v>40000000</v>
      </c>
      <c r="F5" t="s">
        <v>9</v>
      </c>
      <c r="G5" t="str" cm="1">
        <f t="array" ref="G5">_xlfn.IFS(B5&lt;=10,"critical",B5&lt;=50,"evaluasi",B5&gt;50,"oveload")</f>
        <v>evaluasi</v>
      </c>
    </row>
    <row r="6" spans="1:7" x14ac:dyDescent="0.35">
      <c r="A6" t="s">
        <v>10</v>
      </c>
      <c r="B6">
        <v>45</v>
      </c>
      <c r="C6">
        <v>14</v>
      </c>
      <c r="D6">
        <v>70</v>
      </c>
      <c r="E6" s="1">
        <v>40000000</v>
      </c>
      <c r="F6" t="s">
        <v>11</v>
      </c>
      <c r="G6" t="str" cm="1">
        <f t="array" ref="G6">_xlfn.IFS(B6&lt;=10,"critical",B6&lt;=50,"evaluasi",B6&gt;50,"oveload")</f>
        <v>evaluasi</v>
      </c>
    </row>
    <row r="7" spans="1:7" x14ac:dyDescent="0.35">
      <c r="A7" t="s">
        <v>12</v>
      </c>
      <c r="B7">
        <v>38</v>
      </c>
      <c r="C7">
        <v>30</v>
      </c>
      <c r="D7">
        <v>70</v>
      </c>
      <c r="E7" s="1">
        <v>40000000</v>
      </c>
      <c r="F7" t="s">
        <v>9</v>
      </c>
      <c r="G7" t="str" cm="1">
        <f t="array" ref="G7">_xlfn.IFS(B7&lt;=10,"critical",B7&lt;=50,"evaluasi",B7&gt;50,"oveload")</f>
        <v>evaluasi</v>
      </c>
    </row>
    <row r="8" spans="1:7" x14ac:dyDescent="0.35">
      <c r="A8" t="s">
        <v>13</v>
      </c>
      <c r="B8">
        <v>70</v>
      </c>
      <c r="C8">
        <v>80</v>
      </c>
      <c r="D8">
        <v>100</v>
      </c>
      <c r="E8" s="1">
        <v>50000000</v>
      </c>
      <c r="F8" t="s">
        <v>14</v>
      </c>
      <c r="G8" t="str" cm="1">
        <f t="array" ref="G8">_xlfn.IFS(B8&lt;=10,"critical",B8&lt;=50,"evaluasi",B8&gt;50,"oveload")</f>
        <v>oveload</v>
      </c>
    </row>
    <row r="9" spans="1:7" x14ac:dyDescent="0.35">
      <c r="A9" t="s">
        <v>15</v>
      </c>
      <c r="B9">
        <v>100</v>
      </c>
      <c r="C9">
        <v>180</v>
      </c>
      <c r="D9">
        <v>100</v>
      </c>
      <c r="E9" s="1">
        <v>50000000</v>
      </c>
      <c r="F9" t="s">
        <v>6</v>
      </c>
      <c r="G9" t="str" cm="1">
        <f t="array" ref="G9">_xlfn.IFS(B9&lt;=10,"critical",B9&lt;=50,"evaluasi",B9&gt;50,"oveload")</f>
        <v>oveload</v>
      </c>
    </row>
    <row r="10" spans="1:7" x14ac:dyDescent="0.35">
      <c r="A10" t="s">
        <v>16</v>
      </c>
      <c r="B10">
        <v>111</v>
      </c>
      <c r="C10">
        <v>60</v>
      </c>
      <c r="D10">
        <v>70</v>
      </c>
      <c r="E10" s="1">
        <v>40000000</v>
      </c>
      <c r="F10" t="s">
        <v>6</v>
      </c>
      <c r="G10" t="str" cm="1">
        <f t="array" ref="G10">_xlfn.IFS(B10&lt;=10,"critical",B10&lt;=50,"evaluasi",B10&gt;50,"oveload")</f>
        <v>oveload</v>
      </c>
    </row>
    <row r="11" spans="1:7" x14ac:dyDescent="0.35">
      <c r="A11" t="s">
        <v>17</v>
      </c>
      <c r="B11">
        <v>90</v>
      </c>
      <c r="C11">
        <v>100</v>
      </c>
      <c r="D11">
        <v>100</v>
      </c>
      <c r="E11" s="1">
        <v>50000000</v>
      </c>
      <c r="F11" t="s">
        <v>4</v>
      </c>
      <c r="G11" t="str" cm="1">
        <f t="array" ref="G11">_xlfn.IFS(B11&lt;=10,"critical",B11&lt;=50,"evaluasi",B11&gt;50,"oveload")</f>
        <v>oveload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spklu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Dhimas Wahyu P</dc:creator>
  <cp:lastModifiedBy>Dhimas Wahyu P</cp:lastModifiedBy>
  <dcterms:created xsi:type="dcterms:W3CDTF">2026-04-13T15:05:03Z</dcterms:created>
  <dcterms:modified xsi:type="dcterms:W3CDTF">2026-04-13T15:07:42Z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2026-04-13T15:05:18Z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0e48f9d7-2701-4b80-bb71-211bde24768a</vt:lpwstr>
  </property>
  <property fmtid="{D5CDD505-2E9C-101B-9397-08002B2CF9AE}" pid="7" name="MSIP_Label_defa4170-0d19-0005-0004-bc88714345d2_ActionId">
    <vt:lpwstr>39590cd1-7d1c-4491-a0dd-97d52a55d1b4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